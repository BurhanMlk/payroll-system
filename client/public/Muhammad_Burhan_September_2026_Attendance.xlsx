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066821c1f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ptember Attendance" sheetId="1" r:id="Rea3ec2f86d0e4a67"/>
    <x:sheet xmlns:r="http://schemas.openxmlformats.org/officeDocument/2006/relationships" name="Salary Summary" sheetId="2" r:id="R035d0ed3540f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3153"/>
      <x:name val="Carlito"/>
    </x:font>
    <x:font>
      <x:sz val="11"/>
      <x:color rgb="FF92400E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6653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0" fillId="4" borderId="0" xfId="0" applyNumberFormat="1" applyFont="1" applyFill="1" applyBorder="1"/>
    <x:xf numFmtId="200" fontId="0" fillId="7" borderId="0" xfId="0" applyNumberFormat="1" applyFont="1" applyFill="1" applyBorder="1"/>
    <x:xf numFmtId="200" fontId="0" fillId="0" borderId="1" xfId="0" applyNumberFormat="1" applyFont="1" applyFill="1" applyBorder="1"/>
    <x:xf numFmtId="200" fontId="0" fillId="6" borderId="1" xfId="0" applyNumberFormat="1" applyFont="1" applyFill="1" applyBorder="1"/>
    <x:xf numFmtId="200" fontId="0" fillId="4" borderId="1" xfId="0" applyNumberFormat="1" applyFont="1" applyFill="1" applyBorder="1"/>
    <x:xf numFmtId="200" fontId="0" fillId="7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201" fontId="0" fillId="0" borderId="0" xfId="0" applyNumberFormat="1" applyFont="1" applyFill="1" applyBorder="1"/>
    <x:xf numFmtId="201" fontId="6" fillId="8" borderId="0" xfId="0" applyNumberFormat="1" applyFont="1" applyFill="1" applyBorder="1"/>
    <x:xf numFmtId="201" fontId="0" fillId="0" borderId="1" xfId="0" applyNumberFormat="1" applyFont="1" applyFill="1" applyBorder="1"/>
    <x:xf numFmtId="201" fontId="6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8a29a21094c9c" /><Relationship Type="http://schemas.openxmlformats.org/officeDocument/2006/relationships/theme" Target="/xl/theme/theme1.xml" Id="R53789a13ea70475c" /><Relationship Type="http://schemas.openxmlformats.org/officeDocument/2006/relationships/sharedStrings" Target="/xl/sharedStrings.xml" Id="Rfaeb6bece5b84fb8" /><Relationship Type="http://schemas.openxmlformats.org/officeDocument/2006/relationships/worksheet" Target="/xl/worksheets/sheet1.xml" Id="Rea3ec2f86d0e4a67" /><Relationship Type="http://schemas.openxmlformats.org/officeDocument/2006/relationships/worksheet" Target="/xl/worksheets/sheet2.xml" Id="R035d0ed3540f47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8" hidden="0" customWidth="1"/>
    <x:col min="5" max="5" width="4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8" customHeight="1">
      <x:c r="A1" s="4" t="str">
        <x:v>SEPTEMBER 2026  |  EMPLOYEE ATTENDANCE</x:v>
      </x:c>
      <x:c r="B1" s="4"/>
      <x:c r="C1" s="4"/>
      <x:c r="D1" s="4"/>
      <x:c r="E1" s="4"/>
    </x:row>
    <x:row r="2" ht="29" customHeight="1">
      <x:c r="A2" s="9" t="str">
        <x:v>Muhammad Burhan  •  Employee ID: 001  •  Department: Science  •  Teacher</x:v>
      </x:c>
      <x:c r="B2" s="9"/>
      <x:c r="C2" s="9"/>
      <x:c r="D2" s="9"/>
      <x:c r="E2" s="9"/>
    </x:row>
    <x:row r="3" ht="26" customHeight="1">
      <x:c r="A3" s="13" t="str">
        <x:v>Illustrative record: listed joining date is 25 October 2026, after this attendance month.</x:v>
      </x:c>
      <x:c r="B3" s="13"/>
      <x:c r="C3" s="13"/>
      <x:c r="D3" s="13"/>
      <x:c r="E3" s="13"/>
    </x:row>
    <x:row r="4" ht="23" customHeight="1"/>
    <x:row r="5" ht="28" customHeight="1">
      <x:c r="A5" s="17" t="str">
        <x:v>Date</x:v>
      </x:c>
      <x:c r="B5" s="17" t="str">
        <x:v>Day</x:v>
      </x:c>
      <x:c r="C5" s="17" t="str">
        <x:v>Attendance</x:v>
      </x:c>
      <x:c r="D5" s="17" t="str">
        <x:v>Paid/Unpaid</x:v>
      </x:c>
      <x:c r="E5" s="17" t="str">
        <x:v>Notes</x:v>
      </x:c>
    </x:row>
    <x:row r="6" ht="23" customHeight="1">
      <x:c r="A6" s="24" t="n">
        <x:v>46266</x:v>
      </x:c>
      <x:c r="B6" t="str">
        <x:v>Tuesday</x:v>
      </x:c>
      <x:c r="C6" t="str">
        <x:v>Present</x:v>
      </x:c>
      <x:c r="D6" t="str">
        <x:v>N/A</x:v>
      </x:c>
      <x:c r="E6" t="str"/>
    </x:row>
    <x:row r="7" ht="23" customHeight="1">
      <x:c r="A7" s="24" t="n">
        <x:v>46267</x:v>
      </x:c>
      <x:c r="B7" t="str">
        <x:v>Wednesday</x:v>
      </x:c>
      <x:c r="C7" t="str">
        <x:v>Present</x:v>
      </x:c>
      <x:c r="D7" t="str">
        <x:v>N/A</x:v>
      </x:c>
      <x:c r="E7" t="str"/>
    </x:row>
    <x:row r="8" ht="23" customHeight="1">
      <x:c r="A8" s="24" t="n">
        <x:v>46268</x:v>
      </x:c>
      <x:c r="B8" t="str">
        <x:v>Thursday</x:v>
      </x:c>
      <x:c r="C8" t="str">
        <x:v>Present</x:v>
      </x:c>
      <x:c r="D8" t="str">
        <x:v>N/A</x:v>
      </x:c>
      <x:c r="E8" t="str"/>
    </x:row>
    <x:row r="9" ht="23" customHeight="1">
      <x:c r="A9" s="24" t="n">
        <x:v>46269</x:v>
      </x:c>
      <x:c r="B9" t="str">
        <x:v>Friday</x:v>
      </x:c>
      <x:c r="C9" t="str">
        <x:v>Present</x:v>
      </x:c>
      <x:c r="D9" t="str">
        <x:v>N/A</x:v>
      </x:c>
      <x:c r="E9" t="str"/>
    </x:row>
    <x:row r="10" ht="23" customHeight="1">
      <x:c r="A10" s="25" t="n">
        <x:v>46270</x:v>
      </x:c>
      <x:c r="B10" s="20" t="str">
        <x:v>Saturday</x:v>
      </x:c>
      <x:c r="C10" s="20" t="str">
        <x:v>Weekly Off</x:v>
      </x:c>
      <x:c r="D10" s="20" t="str">
        <x:v>N/A</x:v>
      </x:c>
      <x:c r="E10" s="20" t="str">
        <x:v>Assumed Sat/Sun off</x:v>
      </x:c>
    </x:row>
    <x:row r="11" ht="23" customHeight="1">
      <x:c r="A11" s="25" t="n">
        <x:v>46271</x:v>
      </x:c>
      <x:c r="B11" s="20" t="str">
        <x:v>Sunday</x:v>
      </x:c>
      <x:c r="C11" s="20" t="str">
        <x:v>Weekly Off</x:v>
      </x:c>
      <x:c r="D11" s="20" t="str">
        <x:v>N/A</x:v>
      </x:c>
      <x:c r="E11" s="20" t="str">
        <x:v>Assumed Sat/Sun off</x:v>
      </x:c>
    </x:row>
    <x:row r="12" ht="23" customHeight="1">
      <x:c r="A12" s="26" t="n">
        <x:v>46272</x:v>
      </x:c>
      <x:c r="B12" s="12" t="str">
        <x:v>Monday</x:v>
      </x:c>
      <x:c r="C12" s="12" t="str">
        <x:v>Leave</x:v>
      </x:c>
      <x:c r="D12" s="12" t="str">
        <x:v>Paid</x:v>
      </x:c>
      <x:c r="E12" s="12" t="str">
        <x:v>Allowed paid leave</x:v>
      </x:c>
    </x:row>
    <x:row r="13" ht="23" customHeight="1">
      <x:c r="A13" s="24" t="n">
        <x:v>46273</x:v>
      </x:c>
      <x:c r="B13" t="str">
        <x:v>Tuesday</x:v>
      </x:c>
      <x:c r="C13" t="str">
        <x:v>Present</x:v>
      </x:c>
      <x:c r="D13" t="str">
        <x:v>N/A</x:v>
      </x:c>
      <x:c r="E13" t="str"/>
    </x:row>
    <x:row r="14" ht="23" customHeight="1">
      <x:c r="A14" s="24" t="n">
        <x:v>46274</x:v>
      </x:c>
      <x:c r="B14" t="str">
        <x:v>Wednesday</x:v>
      </x:c>
      <x:c r="C14" t="str">
        <x:v>Present</x:v>
      </x:c>
      <x:c r="D14" t="str">
        <x:v>N/A</x:v>
      </x:c>
      <x:c r="E14" t="str"/>
    </x:row>
    <x:row r="15" ht="23" customHeight="1">
      <x:c r="A15" s="24" t="n">
        <x:v>46275</x:v>
      </x:c>
      <x:c r="B15" t="str">
        <x:v>Thursday</x:v>
      </x:c>
      <x:c r="C15" t="str">
        <x:v>Present</x:v>
      </x:c>
      <x:c r="D15" t="str">
        <x:v>N/A</x:v>
      </x:c>
      <x:c r="E15" t="str"/>
    </x:row>
    <x:row r="16" ht="23" customHeight="1">
      <x:c r="A16" s="24" t="n">
        <x:v>46276</x:v>
      </x:c>
      <x:c r="B16" t="str">
        <x:v>Friday</x:v>
      </x:c>
      <x:c r="C16" t="str">
        <x:v>Present</x:v>
      </x:c>
      <x:c r="D16" t="str">
        <x:v>N/A</x:v>
      </x:c>
      <x:c r="E16" t="str"/>
    </x:row>
    <x:row r="17" ht="23" customHeight="1">
      <x:c r="A17" s="25" t="n">
        <x:v>46277</x:v>
      </x:c>
      <x:c r="B17" s="20" t="str">
        <x:v>Saturday</x:v>
      </x:c>
      <x:c r="C17" s="20" t="str">
        <x:v>Weekly Off</x:v>
      </x:c>
      <x:c r="D17" s="20" t="str">
        <x:v>N/A</x:v>
      </x:c>
      <x:c r="E17" s="20" t="str">
        <x:v>Assumed Sat/Sun off</x:v>
      </x:c>
    </x:row>
    <x:row r="18" ht="23" customHeight="1">
      <x:c r="A18" s="25" t="n">
        <x:v>46278</x:v>
      </x:c>
      <x:c r="B18" s="20" t="str">
        <x:v>Sunday</x:v>
      </x:c>
      <x:c r="C18" s="20" t="str">
        <x:v>Weekly Off</x:v>
      </x:c>
      <x:c r="D18" s="20" t="str">
        <x:v>N/A</x:v>
      </x:c>
      <x:c r="E18" s="20" t="str">
        <x:v>Assumed Sat/Sun off</x:v>
      </x:c>
    </x:row>
    <x:row r="19" ht="23" customHeight="1">
      <x:c r="A19" s="27" t="n">
        <x:v>46279</x:v>
      </x:c>
      <x:c r="B19" s="22" t="str">
        <x:v>Monday</x:v>
      </x:c>
      <x:c r="C19" s="22" t="str">
        <x:v>Leave</x:v>
      </x:c>
      <x:c r="D19" s="22" t="str">
        <x:v>Unpaid</x:v>
      </x:c>
      <x:c r="E19" s="22" t="str">
        <x:v>Extra leave; Rs. 500 deduction</x:v>
      </x:c>
    </x:row>
    <x:row r="20" ht="23" customHeight="1">
      <x:c r="A20" s="24" t="n">
        <x:v>46280</x:v>
      </x:c>
      <x:c r="B20" t="str">
        <x:v>Tuesday</x:v>
      </x:c>
      <x:c r="C20" t="str">
        <x:v>Present</x:v>
      </x:c>
      <x:c r="D20" t="str">
        <x:v>N/A</x:v>
      </x:c>
      <x:c r="E20" t="str"/>
    </x:row>
    <x:row r="21" ht="23" customHeight="1">
      <x:c r="A21" s="24" t="n">
        <x:v>46281</x:v>
      </x:c>
      <x:c r="B21" t="str">
        <x:v>Wednesday</x:v>
      </x:c>
      <x:c r="C21" t="str">
        <x:v>Present</x:v>
      </x:c>
      <x:c r="D21" t="str">
        <x:v>N/A</x:v>
      </x:c>
      <x:c r="E21" t="str"/>
    </x:row>
    <x:row r="22" ht="23" customHeight="1">
      <x:c r="A22" s="24" t="n">
        <x:v>46282</x:v>
      </x:c>
      <x:c r="B22" t="str">
        <x:v>Thursday</x:v>
      </x:c>
      <x:c r="C22" t="str">
        <x:v>Present</x:v>
      </x:c>
      <x:c r="D22" t="str">
        <x:v>N/A</x:v>
      </x:c>
      <x:c r="E22" t="str"/>
    </x:row>
    <x:row r="23" ht="23" customHeight="1">
      <x:c r="A23" s="24" t="n">
        <x:v>46283</x:v>
      </x:c>
      <x:c r="B23" t="str">
        <x:v>Friday</x:v>
      </x:c>
      <x:c r="C23" t="str">
        <x:v>Present</x:v>
      </x:c>
      <x:c r="D23" t="str">
        <x:v>N/A</x:v>
      </x:c>
      <x:c r="E23" t="str"/>
    </x:row>
    <x:row r="24" ht="23" customHeight="1">
      <x:c r="A24" s="25" t="n">
        <x:v>46284</x:v>
      </x:c>
      <x:c r="B24" s="20" t="str">
        <x:v>Saturday</x:v>
      </x:c>
      <x:c r="C24" s="20" t="str">
        <x:v>Weekly Off</x:v>
      </x:c>
      <x:c r="D24" s="20" t="str">
        <x:v>N/A</x:v>
      </x:c>
      <x:c r="E24" s="20" t="str">
        <x:v>Assumed Sat/Sun off</x:v>
      </x:c>
    </x:row>
    <x:row r="25" ht="23" customHeight="1">
      <x:c r="A25" s="25" t="n">
        <x:v>46285</x:v>
      </x:c>
      <x:c r="B25" s="20" t="str">
        <x:v>Sunday</x:v>
      </x:c>
      <x:c r="C25" s="20" t="str">
        <x:v>Weekly Off</x:v>
      </x:c>
      <x:c r="D25" s="20" t="str">
        <x:v>N/A</x:v>
      </x:c>
      <x:c r="E25" s="20" t="str">
        <x:v>Assumed Sat/Sun off</x:v>
      </x:c>
    </x:row>
    <x:row r="26" ht="23" customHeight="1">
      <x:c r="A26" s="27" t="n">
        <x:v>46286</x:v>
      </x:c>
      <x:c r="B26" s="22" t="str">
        <x:v>Monday</x:v>
      </x:c>
      <x:c r="C26" s="22" t="str">
        <x:v>Leave</x:v>
      </x:c>
      <x:c r="D26" s="22" t="str">
        <x:v>Unpaid</x:v>
      </x:c>
      <x:c r="E26" s="22" t="str">
        <x:v>Extra leave; Rs. 500 deduction</x:v>
      </x:c>
    </x:row>
    <x:row r="27" ht="23" customHeight="1">
      <x:c r="A27" s="24" t="n">
        <x:v>46287</x:v>
      </x:c>
      <x:c r="B27" t="str">
        <x:v>Tuesday</x:v>
      </x:c>
      <x:c r="C27" t="str">
        <x:v>Present</x:v>
      </x:c>
      <x:c r="D27" t="str">
        <x:v>N/A</x:v>
      </x:c>
      <x:c r="E27" t="str"/>
    </x:row>
    <x:row r="28" ht="23" customHeight="1">
      <x:c r="A28" s="24" t="n">
        <x:v>46288</x:v>
      </x:c>
      <x:c r="B28" t="str">
        <x:v>Wednesday</x:v>
      </x:c>
      <x:c r="C28" t="str">
        <x:v>Present</x:v>
      </x:c>
      <x:c r="D28" t="str">
        <x:v>N/A</x:v>
      </x:c>
      <x:c r="E28" t="str"/>
    </x:row>
    <x:row r="29" ht="23" customHeight="1">
      <x:c r="A29" s="24" t="n">
        <x:v>46289</x:v>
      </x:c>
      <x:c r="B29" t="str">
        <x:v>Thursday</x:v>
      </x:c>
      <x:c r="C29" t="str">
        <x:v>Present</x:v>
      </x:c>
      <x:c r="D29" t="str">
        <x:v>N/A</x:v>
      </x:c>
      <x:c r="E29" t="str"/>
    </x:row>
    <x:row r="30" ht="23" customHeight="1">
      <x:c r="A30" s="24" t="n">
        <x:v>46290</x:v>
      </x:c>
      <x:c r="B30" t="str">
        <x:v>Friday</x:v>
      </x:c>
      <x:c r="C30" t="str">
        <x:v>Present</x:v>
      </x:c>
      <x:c r="D30" t="str">
        <x:v>N/A</x:v>
      </x:c>
      <x:c r="E30" t="str"/>
    </x:row>
    <x:row r="31" ht="23" customHeight="1">
      <x:c r="A31" s="25" t="n">
        <x:v>46291</x:v>
      </x:c>
      <x:c r="B31" s="20" t="str">
        <x:v>Saturday</x:v>
      </x:c>
      <x:c r="C31" s="20" t="str">
        <x:v>Weekly Off</x:v>
      </x:c>
      <x:c r="D31" s="20" t="str">
        <x:v>N/A</x:v>
      </x:c>
      <x:c r="E31" s="20" t="str">
        <x:v>Assumed Sat/Sun off</x:v>
      </x:c>
    </x:row>
    <x:row r="32" ht="23" customHeight="1">
      <x:c r="A32" s="25" t="n">
        <x:v>46292</x:v>
      </x:c>
      <x:c r="B32" s="20" t="str">
        <x:v>Sunday</x:v>
      </x:c>
      <x:c r="C32" s="20" t="str">
        <x:v>Weekly Off</x:v>
      </x:c>
      <x:c r="D32" s="20" t="str">
        <x:v>N/A</x:v>
      </x:c>
      <x:c r="E32" s="20" t="str">
        <x:v>Assumed Sat/Sun off</x:v>
      </x:c>
    </x:row>
    <x:row r="33" ht="23" customHeight="1">
      <x:c r="A33" s="24" t="n">
        <x:v>46293</x:v>
      </x:c>
      <x:c r="B33" t="str">
        <x:v>Monday</x:v>
      </x:c>
      <x:c r="C33" t="str">
        <x:v>Present</x:v>
      </x:c>
      <x:c r="D33" t="str">
        <x:v>N/A</x:v>
      </x:c>
      <x:c r="E33" t="str"/>
    </x:row>
    <x:row r="34" ht="23" customHeight="1">
      <x:c r="A34" s="24" t="n">
        <x:v>46294</x:v>
      </x:c>
      <x:c r="B34" t="str">
        <x:v>Tuesday</x:v>
      </x:c>
      <x:c r="C34" t="str">
        <x:v>Present</x:v>
      </x:c>
      <x:c r="D34" t="str">
        <x:v>N/A</x:v>
      </x:c>
      <x:c r="E34" t="str"/>
    </x:row>
    <x:row r="35" ht="23" customHeight="1">
      <x:c r="A35" s="24" t="n">
        <x:v>46295</x:v>
      </x:c>
      <x:c r="B35" t="str">
        <x:v>Wednesday</x:v>
      </x:c>
      <x:c r="C35" t="str">
        <x:v>Present</x:v>
      </x:c>
      <x:c r="D35" t="str">
        <x:v>N/A</x:v>
      </x:c>
      <x:c r="E35" t="str"/>
    </x:row>
    <x:row r="36" ht="23" customHeight="1"/>
    <x:row r="37" ht="23" customHeight="1">
      <x:c r="A37" s="32" t="str">
        <x:v>Attendance Summary</x:v>
      </x:c>
      <x:c r="B37" s="32" t="str">
        <x:v>Value</x:v>
      </x:c>
    </x:row>
    <x:row r="38" ht="23" customHeight="1">
      <x:c r="A38" t="str">
        <x:v>Present days</x:v>
      </x:c>
      <x:c r="B38" t="n">
        <x:f>COUNTIF(C6:C35,"Present")</x:f>
        <x:v>19</x:v>
      </x:c>
    </x:row>
    <x:row r="39" ht="23" customHeight="1">
      <x:c r="A39" t="str">
        <x:v>Leave days</x:v>
      </x:c>
      <x:c r="B39" t="n">
        <x:f>COUNTIF(C6:C35,"Leave")</x:f>
        <x:v>3</x:v>
      </x:c>
    </x:row>
    <x:row r="40" ht="23" customHeight="1">
      <x:c r="A40" t="str">
        <x:v>Paid leave</x:v>
      </x:c>
      <x:c r="B40" t="n">
        <x:f>COUNTIF(D6:D35,"Paid")</x:f>
        <x:v>1</x:v>
      </x:c>
    </x:row>
    <x:row r="41" ht="23" customHeight="1">
      <x:c r="A41" t="str">
        <x:v>Extra leave</x:v>
      </x:c>
      <x:c r="B41" t="n">
        <x:f>COUNTIF(D6:D35,"Unpaid")</x:f>
        <x:v>2</x:v>
      </x:c>
    </x:row>
    <x:row r="42" ht="23" customHeight="1">
      <x:c r="A42" t="str">
        <x:v>Weekly off</x:v>
      </x:c>
      <x:c r="B42" t="n">
        <x:f>COUNTIF(C6:C35,"Weekly Off")</x:f>
        <x:v>8</x:v>
      </x:c>
    </x:row>
    <x:row r="43" ht="23" customHeight="1"/>
    <x:row r="44" ht="23" customHeight="1"/>
    <x:row r="45" ht="23" customHeight="1"/>
    <x:row r="46" ht="23" customHeight="1"/>
    <x:row r="47" ht="23" customHeight="1"/>
    <x:row r="48" ht="23" customHeight="1"/>
    <x:row r="49" ht="23" customHeight="1"/>
    <x:row r="50" ht="23" customHeight="1"/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8" customHeight="1">
      <x:c r="A1" s="34" t="str">
        <x:v>SALARY &amp; LEAVE DEDUCTION | SEPTEMBER 2026</x:v>
      </x:c>
      <x:c r="B1" s="34"/>
      <x:c r="C1" s="34"/>
      <x:c r="D1" s="34"/>
    </x:row>
    <x:row r="2" ht="23" customHeight="1"/>
    <x:row r="3" ht="23" customHeight="1">
      <x:c r="A3" t="str">
        <x:v>Employee</x:v>
      </x:c>
      <x:c r="B3" t="str">
        <x:v>Muhammad Burhan</x:v>
      </x:c>
    </x:row>
    <x:row r="4" ht="23" customHeight="1">
      <x:c r="A4" t="str">
        <x:v>Employee ID</x:v>
      </x:c>
      <x:c r="B4" t="str">
        <x:v>001</x:v>
      </x:c>
    </x:row>
    <x:row r="5" ht="23" customHeight="1">
      <x:c r="A5" t="str">
        <x:v>Designation</x:v>
      </x:c>
      <x:c r="B5" t="str">
        <x:v>Teacher</x:v>
      </x:c>
    </x:row>
    <x:row r="6" ht="23" customHeight="1">
      <x:c r="A6" t="str">
        <x:v>Department</x:v>
      </x:c>
      <x:c r="B6" t="str">
        <x:v>Science</x:v>
      </x:c>
    </x:row>
    <x:row r="7" ht="23" customHeight="1">
      <x:c r="A7" t="str">
        <x:v>Pay cycle</x:v>
      </x:c>
      <x:c r="B7" t="str">
        <x:v>Monthly</x:v>
      </x:c>
    </x:row>
    <x:row r="8" ht="23" customHeight="1">
      <x:c r="A8" t="str">
        <x:v>Currency</x:v>
      </x:c>
      <x:c r="B8" t="str">
        <x:v>PKR</x:v>
      </x:c>
    </x:row>
    <x:row r="9" ht="23" customHeight="1"/>
    <x:row r="10" ht="23" customHeight="1">
      <x:c r="A10" s="17" t="str">
        <x:v>Payroll item</x:v>
      </x:c>
      <x:c r="B10" s="17" t="str">
        <x:v>Amount / Days</x:v>
      </x:c>
    </x:row>
    <x:row r="11" ht="23" customHeight="1">
      <x:c r="A11" t="str">
        <x:v>Basic monthly salary</x:v>
      </x:c>
      <x:c r="B11" s="40" t="n">
        <x:v>120000</x:v>
      </x:c>
    </x:row>
    <x:row r="12" ht="23" customHeight="1">
      <x:c r="A12" t="str">
        <x:v>Total leave days</x:v>
      </x:c>
      <x:c r="B12" s="40" t="n">
        <x:f>'September Attendance'!B39</x:f>
        <x:v>3</x:v>
      </x:c>
    </x:row>
    <x:row r="13" ht="23" customHeight="1">
      <x:c r="A13" t="str">
        <x:v>Allowed paid leaves</x:v>
      </x:c>
      <x:c r="B13" s="40" t="n">
        <x:v>1</x:v>
      </x:c>
    </x:row>
    <x:row r="14" ht="23" customHeight="1">
      <x:c r="A14" t="str">
        <x:v>Deductible extra leaves</x:v>
      </x:c>
      <x:c r="B14" s="40" t="n">
        <x:f>MAX(0,B12-B13)</x:f>
        <x:v>2</x:v>
      </x:c>
    </x:row>
    <x:row r="15" ht="23" customHeight="1">
      <x:c r="A15" t="str">
        <x:v>Deduction per extra day (PKR)</x:v>
      </x:c>
      <x:c r="B15" s="40" t="n">
        <x:v>500</x:v>
      </x:c>
    </x:row>
    <x:row r="16" ht="23" customHeight="1">
      <x:c r="A16" t="str">
        <x:v>Total deduction (PKR)</x:v>
      </x:c>
      <x:c r="B16" s="40" t="n">
        <x:f>B14*B15</x:f>
        <x:v>1000</x:v>
      </x:c>
    </x:row>
    <x:row r="17" ht="30" customHeight="1">
      <x:c r="A17" s="37" t="str">
        <x:v>Net salary (PKR)</x:v>
      </x:c>
      <x:c r="B17" s="41" t="n">
        <x:f>B11-B16</x:f>
        <x:v>119000</x:v>
      </x:c>
    </x:row>
    <x:row r="18" ht="23" customHeight="1">
      <x:c r="A18" t="str">
        <x:v>Present days</x:v>
      </x:c>
      <x:c r="B18" s="40" t="n">
        <x:f>'September Attendance'!B38</x:f>
        <x:v>19</x:v>
      </x:c>
    </x:row>
    <x:row r="19" ht="23" customHeight="1"/>
    <x:row r="20" ht="29" customHeight="1">
      <x:c r="A20" s="13" t="str">
        <x:v>Assumption: Saturday and Sunday are weekly off. Leave dates: 7, 14 and 21 September 2026.</x:v>
      </x:c>
      <x:c r="B20" s="13"/>
      <x:c r="C20" s="13"/>
      <x:c r="D20" s="13"/>
    </x:row>
    <x:row r="21" ht="29" customHeight="1">
      <x:c r="A21" s="13" t="str">
        <x:v>IMPORTANT: Employee joining date in supplied screenshot is 25 October 2026. September record is illustrative only.</x:v>
      </x:c>
      <x:c r="B21" s="13"/>
      <x:c r="C21" s="13"/>
      <x:c r="D21" s="13"/>
    </x:row>
    <x:row r="22" ht="23" customHeight="1"/>
    <x:row r="23" ht="23" customHeight="1"/>
    <x:row r="24" ht="23" customHeight="1"/>
    <x:row r="25" ht="23" customHeight="1"/>
    <x:row r="26" ht="23" customHeight="1"/>
    <x:row r="27" ht="23" customHeight="1"/>
    <x:row r="28" ht="23" customHeight="1"/>
    <x:row r="29" ht="23" customHeight="1"/>
    <x:row r="30" ht="23" customHeight="1"/>
    <x:row r="31" ht="23" customHeight="1"/>
    <x:row r="32" ht="23" customHeight="1"/>
    <x:row r="33" ht="23" customHeight="1"/>
    <x:row r="34" ht="23" customHeight="1"/>
    <x:row r="35" ht="23" customHeight="1"/>
    <x:row r="36" ht="23" customHeight="1"/>
    <x:row r="37" ht="23" customHeight="1"/>
    <x:row r="38" ht="23" customHeight="1"/>
    <x:row r="39" ht="23" customHeight="1"/>
    <x:row r="40" ht="23" customHeight="1"/>
    <x:row r="41" ht="23" customHeight="1"/>
    <x:row r="42" ht="23" customHeight="1"/>
    <x:row r="43" ht="23" customHeight="1"/>
    <x:row r="44" ht="23" customHeight="1"/>
    <x:row r="45" ht="23" customHeight="1"/>
    <x:row r="46" ht="23" customHeight="1"/>
    <x:row r="47" ht="23" customHeight="1"/>
    <x:row r="48" ht="23" customHeight="1"/>
    <x:row r="49" ht="23" customHeight="1"/>
    <x:row r="50" ht="23" customHeight="1"/>
  </x:sheetData>
  <x:mergeCells>
    <x:mergeCell ref="A1:D1"/>
    <x:mergeCell ref="A20:D20"/>
    <x:mergeCell ref="A21:D21"/>
  </x:mergeCells>
  <x:pageMargins left="0.7" right="0.7" top="0.75" bottom="0.75" header="0.3" footer="0.3"/>
</x:worksheet>
</file>